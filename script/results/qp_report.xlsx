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File size vs QP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'Results'!$A$2:$A$53</f>
            </numRef>
          </cat>
          <val>
            <numRef>
              <f>'Results'!$C$2:$C$53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File size (KiB)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Encoding speed vs QP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'Results'!$A$2:$A$53</f>
            </numRef>
          </cat>
          <val>
            <numRef>
              <f>'Results'!$E$2:$E$53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Encoding time vs QP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'Results'!$A$2:$A$53</f>
            </numRef>
          </cat>
          <val>
            <numRef>
              <f>'Results'!$F$2:$F$53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7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37</row>
      <rowOff>0</rowOff>
    </from>
    <ext cx="57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QP</t>
        </is>
      </c>
      <c r="B1" s="1" t="inlineStr">
        <is>
          <t>File size (bytes)</t>
        </is>
      </c>
      <c r="C1" s="1" t="inlineStr">
        <is>
          <t>File size (KiB)</t>
        </is>
      </c>
      <c r="D1" s="1" t="inlineStr">
        <is>
          <t>Size vs QP0 (%)</t>
        </is>
      </c>
      <c r="E1" s="1" t="inlineStr">
        <is>
          <t>FPS</t>
        </is>
      </c>
      <c r="F1" s="1" t="inlineStr">
        <is>
          <t>Time (s)</t>
        </is>
      </c>
      <c r="G1" s="1" t="inlineStr">
        <is>
          <t>Bitrate (kb/s)</t>
        </is>
      </c>
      <c r="H1" s="1" t="inlineStr">
        <is>
          <t>Compression ratio</t>
        </is>
      </c>
    </row>
    <row r="2">
      <c r="A2" t="n">
        <v>0</v>
      </c>
      <c r="B2" s="2" t="n">
        <v>16267365</v>
      </c>
      <c r="C2" s="3">
        <f>B2/1024</f>
        <v/>
      </c>
      <c r="D2" s="4">
        <f>B2/$B$2*100</f>
        <v/>
      </c>
      <c r="E2" t="n">
        <v>103.81</v>
      </c>
      <c r="F2" t="n">
        <v>2.936</v>
      </c>
      <c r="G2" t="n">
        <v>10844.91</v>
      </c>
      <c r="H2" s="5">
        <f>45619200/B2</f>
        <v/>
      </c>
    </row>
    <row r="3">
      <c r="A3" t="n">
        <v>1</v>
      </c>
      <c r="B3" s="2" t="n">
        <v>17715747</v>
      </c>
      <c r="C3" s="3">
        <f>B3/1024</f>
        <v/>
      </c>
      <c r="D3" s="4">
        <f>B3/$B$2*100</f>
        <v/>
      </c>
      <c r="E3" t="n">
        <v>70.34</v>
      </c>
      <c r="F3" t="n">
        <v>4.318</v>
      </c>
      <c r="G3" t="n">
        <v>11810.5</v>
      </c>
      <c r="H3" s="5">
        <f>45619200/B3</f>
        <v/>
      </c>
    </row>
    <row r="4">
      <c r="A4" t="n">
        <v>2</v>
      </c>
      <c r="B4" s="2" t="n">
        <v>16726355</v>
      </c>
      <c r="C4" s="3">
        <f>B4/1024</f>
        <v/>
      </c>
      <c r="D4" s="4">
        <f>B4/$B$2*100</f>
        <v/>
      </c>
      <c r="E4" t="n">
        <v>75.76000000000001</v>
      </c>
      <c r="F4" t="n">
        <v>4.019</v>
      </c>
      <c r="G4" t="n">
        <v>11150.9</v>
      </c>
      <c r="H4" s="5">
        <f>45619200/B4</f>
        <v/>
      </c>
    </row>
    <row r="5">
      <c r="A5" t="n">
        <v>3</v>
      </c>
      <c r="B5" s="2" t="n">
        <v>15647835</v>
      </c>
      <c r="C5" s="3">
        <f>B5/1024</f>
        <v/>
      </c>
      <c r="D5" s="4">
        <f>B5/$B$2*100</f>
        <v/>
      </c>
      <c r="E5" t="n">
        <v>80.86</v>
      </c>
      <c r="F5" t="n">
        <v>3.759</v>
      </c>
      <c r="G5" t="n">
        <v>10431.89</v>
      </c>
      <c r="H5" s="5">
        <f>45619200/B5</f>
        <v/>
      </c>
    </row>
    <row r="6">
      <c r="A6" t="n">
        <v>4</v>
      </c>
      <c r="B6" s="2" t="n">
        <v>14660429</v>
      </c>
      <c r="C6" s="3">
        <f>B6/1024</f>
        <v/>
      </c>
      <c r="D6" s="4">
        <f>B6/$B$2*100</f>
        <v/>
      </c>
      <c r="E6" t="n">
        <v>81.81</v>
      </c>
      <c r="F6" t="n">
        <v>3.722</v>
      </c>
      <c r="G6" t="n">
        <v>9773.620000000001</v>
      </c>
      <c r="H6" s="5">
        <f>45619200/B6</f>
        <v/>
      </c>
    </row>
    <row r="7">
      <c r="A7" t="n">
        <v>5</v>
      </c>
      <c r="B7" s="2" t="n">
        <v>13564351</v>
      </c>
      <c r="C7" s="3">
        <f>B7/1024</f>
        <v/>
      </c>
      <c r="D7" s="4">
        <f>B7/$B$2*100</f>
        <v/>
      </c>
      <c r="E7" t="n">
        <v>75.91</v>
      </c>
      <c r="F7" t="n">
        <v>4.164</v>
      </c>
      <c r="G7" t="n">
        <v>9042.9</v>
      </c>
      <c r="H7" s="5">
        <f>45619200/B7</f>
        <v/>
      </c>
    </row>
    <row r="8">
      <c r="A8" t="n">
        <v>6</v>
      </c>
      <c r="B8" s="2" t="n">
        <v>12395251</v>
      </c>
      <c r="C8" s="3">
        <f>B8/1024</f>
        <v/>
      </c>
      <c r="D8" s="4">
        <f>B8/$B$2*100</f>
        <v/>
      </c>
      <c r="E8" t="n">
        <v>75.55</v>
      </c>
      <c r="F8" t="n">
        <v>4.025</v>
      </c>
      <c r="G8" t="n">
        <v>8263.5</v>
      </c>
      <c r="H8" s="5">
        <f>45619200/B8</f>
        <v/>
      </c>
    </row>
    <row r="9">
      <c r="A9" t="n">
        <v>7</v>
      </c>
      <c r="B9" s="2" t="n">
        <v>11287767</v>
      </c>
      <c r="C9" s="3">
        <f>B9/1024</f>
        <v/>
      </c>
      <c r="D9" s="4">
        <f>B9/$B$2*100</f>
        <v/>
      </c>
      <c r="E9" t="n">
        <v>86.51000000000001</v>
      </c>
      <c r="F9" t="n">
        <v>3.524</v>
      </c>
      <c r="G9" t="n">
        <v>7525.18</v>
      </c>
      <c r="H9" s="5">
        <f>45619200/B9</f>
        <v/>
      </c>
    </row>
    <row r="10">
      <c r="A10" t="n">
        <v>8</v>
      </c>
      <c r="B10" s="2" t="n">
        <v>10076348</v>
      </c>
      <c r="C10" s="3">
        <f>B10/1024</f>
        <v/>
      </c>
      <c r="D10" s="4">
        <f>B10/$B$2*100</f>
        <v/>
      </c>
      <c r="E10" t="n">
        <v>86.33</v>
      </c>
      <c r="F10" t="n">
        <v>3.544</v>
      </c>
      <c r="G10" t="n">
        <v>6717.57</v>
      </c>
      <c r="H10" s="5">
        <f>45619200/B10</f>
        <v/>
      </c>
    </row>
    <row r="11">
      <c r="A11" t="n">
        <v>9</v>
      </c>
      <c r="B11" s="2" t="n">
        <v>8971923</v>
      </c>
      <c r="C11" s="3">
        <f>B11/1024</f>
        <v/>
      </c>
      <c r="D11" s="4">
        <f>B11/$B$2*100</f>
        <v/>
      </c>
      <c r="E11" t="n">
        <v>96.03</v>
      </c>
      <c r="F11" t="n">
        <v>3.183</v>
      </c>
      <c r="G11" t="n">
        <v>5981.28</v>
      </c>
      <c r="H11" s="5">
        <f>45619200/B11</f>
        <v/>
      </c>
    </row>
    <row r="12">
      <c r="A12" t="n">
        <v>10</v>
      </c>
      <c r="B12" s="2" t="n">
        <v>7907237</v>
      </c>
      <c r="C12" s="3">
        <f>B12/1024</f>
        <v/>
      </c>
      <c r="D12" s="4">
        <f>B12/$B$2*100</f>
        <v/>
      </c>
      <c r="E12" t="n">
        <v>98.06999999999999</v>
      </c>
      <c r="F12" t="n">
        <v>3.14</v>
      </c>
      <c r="G12" t="n">
        <v>5271.49</v>
      </c>
      <c r="H12" s="5">
        <f>45619200/B12</f>
        <v/>
      </c>
    </row>
    <row r="13">
      <c r="A13" t="n">
        <v>11</v>
      </c>
      <c r="B13" s="2" t="n">
        <v>6925403</v>
      </c>
      <c r="C13" s="3">
        <f>B13/1024</f>
        <v/>
      </c>
      <c r="D13" s="4">
        <f>B13/$B$2*100</f>
        <v/>
      </c>
      <c r="E13" t="n">
        <v>99.83</v>
      </c>
      <c r="F13" t="n">
        <v>3.068</v>
      </c>
      <c r="G13" t="n">
        <v>4616.94</v>
      </c>
      <c r="H13" s="5">
        <f>45619200/B13</f>
        <v/>
      </c>
    </row>
    <row r="14">
      <c r="A14" t="n">
        <v>12</v>
      </c>
      <c r="B14" s="2" t="n">
        <v>6037344</v>
      </c>
      <c r="C14" s="3">
        <f>B14/1024</f>
        <v/>
      </c>
      <c r="D14" s="4">
        <f>B14/$B$2*100</f>
        <v/>
      </c>
      <c r="E14" t="n">
        <v>109.69</v>
      </c>
      <c r="F14" t="n">
        <v>2.801</v>
      </c>
      <c r="G14" t="n">
        <v>4024.9</v>
      </c>
      <c r="H14" s="5">
        <f>45619200/B14</f>
        <v/>
      </c>
    </row>
    <row r="15">
      <c r="A15" t="n">
        <v>13</v>
      </c>
      <c r="B15" s="2" t="n">
        <v>5226619</v>
      </c>
      <c r="C15" s="3">
        <f>B15/1024</f>
        <v/>
      </c>
      <c r="D15" s="4">
        <f>B15/$B$2*100</f>
        <v/>
      </c>
      <c r="E15" t="n">
        <v>112.15</v>
      </c>
      <c r="F15" t="n">
        <v>2.732</v>
      </c>
      <c r="G15" t="n">
        <v>3484.41</v>
      </c>
      <c r="H15" s="5">
        <f>45619200/B15</f>
        <v/>
      </c>
    </row>
    <row r="16">
      <c r="A16" t="n">
        <v>14</v>
      </c>
      <c r="B16" s="2" t="n">
        <v>4465567</v>
      </c>
      <c r="C16" s="3">
        <f>B16/1024</f>
        <v/>
      </c>
      <c r="D16" s="4">
        <f>B16/$B$2*100</f>
        <v/>
      </c>
      <c r="E16" t="n">
        <v>112.74</v>
      </c>
      <c r="F16" t="n">
        <v>2.717</v>
      </c>
      <c r="G16" t="n">
        <v>2977.04</v>
      </c>
      <c r="H16" s="5">
        <f>45619200/B16</f>
        <v/>
      </c>
    </row>
    <row r="17">
      <c r="A17" t="n">
        <v>15</v>
      </c>
      <c r="B17" s="2" t="n">
        <v>3803247</v>
      </c>
      <c r="C17" s="3">
        <f>B17/1024</f>
        <v/>
      </c>
      <c r="D17" s="4">
        <f>B17/$B$2*100</f>
        <v/>
      </c>
      <c r="E17" t="n">
        <v>126.64</v>
      </c>
      <c r="F17" t="n">
        <v>2.423</v>
      </c>
      <c r="G17" t="n">
        <v>2535.5</v>
      </c>
      <c r="H17" s="5">
        <f>45619200/B17</f>
        <v/>
      </c>
    </row>
    <row r="18">
      <c r="A18" t="n">
        <v>16</v>
      </c>
      <c r="B18" s="2" t="n">
        <v>3221400</v>
      </c>
      <c r="C18" s="3">
        <f>B18/1024</f>
        <v/>
      </c>
      <c r="D18" s="4">
        <f>B18/$B$2*100</f>
        <v/>
      </c>
      <c r="E18" t="n">
        <v>134.29</v>
      </c>
      <c r="F18" t="n">
        <v>2.288</v>
      </c>
      <c r="G18" t="n">
        <v>2147.6</v>
      </c>
      <c r="H18" s="5">
        <f>45619200/B18</f>
        <v/>
      </c>
    </row>
    <row r="19">
      <c r="A19" t="n">
        <v>17</v>
      </c>
      <c r="B19" s="2" t="n">
        <v>2734379</v>
      </c>
      <c r="C19" s="3">
        <f>B19/1024</f>
        <v/>
      </c>
      <c r="D19" s="4">
        <f>B19/$B$2*100</f>
        <v/>
      </c>
      <c r="E19" t="n">
        <v>137.05</v>
      </c>
      <c r="F19" t="n">
        <v>2.243</v>
      </c>
      <c r="G19" t="n">
        <v>1822.92</v>
      </c>
      <c r="H19" s="5">
        <f>45619200/B19</f>
        <v/>
      </c>
    </row>
    <row r="20">
      <c r="A20" t="n">
        <v>18</v>
      </c>
      <c r="B20" s="2" t="n">
        <v>2324651</v>
      </c>
      <c r="C20" s="3">
        <f>B20/1024</f>
        <v/>
      </c>
      <c r="D20" s="4">
        <f>B20/$B$2*100</f>
        <v/>
      </c>
      <c r="E20" t="n">
        <v>116.1</v>
      </c>
      <c r="F20" t="n">
        <v>2.643</v>
      </c>
      <c r="G20" t="n">
        <v>1549.77</v>
      </c>
      <c r="H20" s="5">
        <f>45619200/B20</f>
        <v/>
      </c>
    </row>
    <row r="21">
      <c r="A21" t="n">
        <v>19</v>
      </c>
      <c r="B21" s="2" t="n">
        <v>1977517</v>
      </c>
      <c r="C21" s="3">
        <f>B21/1024</f>
        <v/>
      </c>
      <c r="D21" s="4">
        <f>B21/$B$2*100</f>
        <v/>
      </c>
      <c r="E21" t="n">
        <v>160.94</v>
      </c>
      <c r="F21" t="n">
        <v>1.913</v>
      </c>
      <c r="G21" t="n">
        <v>1318.34</v>
      </c>
      <c r="H21" s="5">
        <f>45619200/B21</f>
        <v/>
      </c>
    </row>
    <row r="22">
      <c r="A22" t="n">
        <v>20</v>
      </c>
      <c r="B22" s="2" t="n">
        <v>1667943</v>
      </c>
      <c r="C22" s="3">
        <f>B22/1024</f>
        <v/>
      </c>
      <c r="D22" s="4">
        <f>B22/$B$2*100</f>
        <v/>
      </c>
      <c r="E22" t="n">
        <v>143.95</v>
      </c>
      <c r="F22" t="n">
        <v>2.234</v>
      </c>
      <c r="G22" t="n">
        <v>1111.96</v>
      </c>
      <c r="H22" s="5">
        <f>45619200/B22</f>
        <v/>
      </c>
    </row>
    <row r="23">
      <c r="A23" t="n">
        <v>21</v>
      </c>
      <c r="B23" s="2" t="n">
        <v>1427480</v>
      </c>
      <c r="C23" s="3">
        <f>B23/1024</f>
        <v/>
      </c>
      <c r="D23" s="4">
        <f>B23/$B$2*100</f>
        <v/>
      </c>
      <c r="E23" t="n">
        <v>173.61</v>
      </c>
      <c r="F23" t="n">
        <v>1.777</v>
      </c>
      <c r="G23" t="n">
        <v>951.65</v>
      </c>
      <c r="H23" s="5">
        <f>45619200/B23</f>
        <v/>
      </c>
    </row>
    <row r="24">
      <c r="A24" t="n">
        <v>22</v>
      </c>
      <c r="B24" s="2" t="n">
        <v>1213676</v>
      </c>
      <c r="C24" s="3">
        <f>B24/1024</f>
        <v/>
      </c>
      <c r="D24" s="4">
        <f>B24/$B$2*100</f>
        <v/>
      </c>
      <c r="E24" t="n">
        <v>184.96</v>
      </c>
      <c r="F24" t="n">
        <v>1.671</v>
      </c>
      <c r="G24" t="n">
        <v>809.12</v>
      </c>
      <c r="H24" s="5">
        <f>45619200/B24</f>
        <v/>
      </c>
    </row>
    <row r="25">
      <c r="A25" t="n">
        <v>23</v>
      </c>
      <c r="B25" s="2" t="n">
        <v>1039630</v>
      </c>
      <c r="C25" s="3">
        <f>B25/1024</f>
        <v/>
      </c>
      <c r="D25" s="4">
        <f>B25/$B$2*100</f>
        <v/>
      </c>
      <c r="E25" t="n">
        <v>198.54</v>
      </c>
      <c r="F25" t="n">
        <v>1.545</v>
      </c>
      <c r="G25" t="n">
        <v>693.09</v>
      </c>
      <c r="H25" s="5">
        <f>45619200/B25</f>
        <v/>
      </c>
    </row>
    <row r="26">
      <c r="A26" t="n">
        <v>24</v>
      </c>
      <c r="B26" s="2" t="n">
        <v>888567</v>
      </c>
      <c r="C26" s="3">
        <f>B26/1024</f>
        <v/>
      </c>
      <c r="D26" s="4">
        <f>B26/$B$2*100</f>
        <v/>
      </c>
      <c r="E26" t="n">
        <v>177.83</v>
      </c>
      <c r="F26" t="n">
        <v>1.728</v>
      </c>
      <c r="G26" t="n">
        <v>592.38</v>
      </c>
      <c r="H26" s="5">
        <f>45619200/B26</f>
        <v/>
      </c>
    </row>
    <row r="27">
      <c r="A27" t="n">
        <v>25</v>
      </c>
      <c r="B27" s="2" t="n">
        <v>768611</v>
      </c>
      <c r="C27" s="3">
        <f>B27/1024</f>
        <v/>
      </c>
      <c r="D27" s="4">
        <f>B27/$B$2*100</f>
        <v/>
      </c>
      <c r="E27" t="n">
        <v>215.05</v>
      </c>
      <c r="F27" t="n">
        <v>1.438</v>
      </c>
      <c r="G27" t="n">
        <v>512.41</v>
      </c>
      <c r="H27" s="5">
        <f>45619200/B27</f>
        <v/>
      </c>
    </row>
    <row r="28">
      <c r="A28" t="n">
        <v>26</v>
      </c>
      <c r="B28" s="2" t="n">
        <v>660172</v>
      </c>
      <c r="C28" s="3">
        <f>B28/1024</f>
        <v/>
      </c>
      <c r="D28" s="4">
        <f>B28/$B$2*100</f>
        <v/>
      </c>
      <c r="E28" t="n">
        <v>226.76</v>
      </c>
      <c r="F28" t="n">
        <v>1.383</v>
      </c>
      <c r="G28" t="n">
        <v>440.11</v>
      </c>
      <c r="H28" s="5">
        <f>45619200/B28</f>
        <v/>
      </c>
    </row>
    <row r="29">
      <c r="A29" t="n">
        <v>27</v>
      </c>
      <c r="B29" s="2" t="n">
        <v>571655</v>
      </c>
      <c r="C29" s="3">
        <f>B29/1024</f>
        <v/>
      </c>
      <c r="D29" s="4">
        <f>B29/$B$2*100</f>
        <v/>
      </c>
      <c r="E29" t="n">
        <v>191.2</v>
      </c>
      <c r="F29" t="n">
        <v>1.622</v>
      </c>
      <c r="G29" t="n">
        <v>381.1</v>
      </c>
      <c r="H29" s="5">
        <f>45619200/B29</f>
        <v/>
      </c>
    </row>
    <row r="30">
      <c r="A30" t="n">
        <v>28</v>
      </c>
      <c r="B30" s="2" t="n">
        <v>493309</v>
      </c>
      <c r="C30" s="3">
        <f>B30/1024</f>
        <v/>
      </c>
      <c r="D30" s="4">
        <f>B30/$B$2*100</f>
        <v/>
      </c>
      <c r="E30" t="n">
        <v>232.92</v>
      </c>
      <c r="F30" t="n">
        <v>1.332</v>
      </c>
      <c r="G30" t="n">
        <v>328.87</v>
      </c>
      <c r="H30" s="5">
        <f>45619200/B30</f>
        <v/>
      </c>
    </row>
    <row r="31">
      <c r="A31" t="n">
        <v>29</v>
      </c>
      <c r="B31" s="2" t="n">
        <v>429087</v>
      </c>
      <c r="C31" s="3">
        <f>B31/1024</f>
        <v/>
      </c>
      <c r="D31" s="4">
        <f>B31/$B$2*100</f>
        <v/>
      </c>
      <c r="E31" t="n">
        <v>239.43</v>
      </c>
      <c r="F31" t="n">
        <v>1.437</v>
      </c>
      <c r="G31" t="n">
        <v>286.06</v>
      </c>
      <c r="H31" s="5">
        <f>45619200/B31</f>
        <v/>
      </c>
    </row>
    <row r="32">
      <c r="A32" t="n">
        <v>30</v>
      </c>
      <c r="B32" s="2" t="n">
        <v>375319</v>
      </c>
      <c r="C32" s="3">
        <f>B32/1024</f>
        <v/>
      </c>
      <c r="D32" s="4">
        <f>B32/$B$2*100</f>
        <v/>
      </c>
      <c r="E32" t="n">
        <v>255.75</v>
      </c>
      <c r="F32" t="n">
        <v>1.214</v>
      </c>
      <c r="G32" t="n">
        <v>250.21</v>
      </c>
      <c r="H32" s="5">
        <f>45619200/B32</f>
        <v/>
      </c>
    </row>
    <row r="33">
      <c r="A33" t="n">
        <v>31</v>
      </c>
      <c r="B33" s="2" t="n">
        <v>329366</v>
      </c>
      <c r="C33" s="3">
        <f>B33/1024</f>
        <v/>
      </c>
      <c r="D33" s="4">
        <f>B33/$B$2*100</f>
        <v/>
      </c>
      <c r="E33" t="n">
        <v>265.72</v>
      </c>
      <c r="F33" t="n">
        <v>1.17</v>
      </c>
      <c r="G33" t="n">
        <v>219.58</v>
      </c>
      <c r="H33" s="5">
        <f>45619200/B33</f>
        <v/>
      </c>
    </row>
    <row r="34">
      <c r="A34" t="n">
        <v>32</v>
      </c>
      <c r="B34" s="2" t="n">
        <v>289806</v>
      </c>
      <c r="C34" s="3">
        <f>B34/1024</f>
        <v/>
      </c>
      <c r="D34" s="4">
        <f>B34/$B$2*100</f>
        <v/>
      </c>
      <c r="E34" t="n">
        <v>278.81</v>
      </c>
      <c r="F34" t="n">
        <v>1.128</v>
      </c>
      <c r="G34" t="n">
        <v>193.2</v>
      </c>
      <c r="H34" s="5">
        <f>45619200/B34</f>
        <v/>
      </c>
    </row>
    <row r="35">
      <c r="A35" t="n">
        <v>33</v>
      </c>
      <c r="B35" s="2" t="n">
        <v>256222</v>
      </c>
      <c r="C35" s="3">
        <f>B35/1024</f>
        <v/>
      </c>
      <c r="D35" s="4">
        <f>B35/$B$2*100</f>
        <v/>
      </c>
      <c r="E35" t="n">
        <v>250</v>
      </c>
      <c r="F35" t="n">
        <v>1.248</v>
      </c>
      <c r="G35" t="n">
        <v>170.81</v>
      </c>
      <c r="H35" s="5">
        <f>45619200/B35</f>
        <v/>
      </c>
    </row>
    <row r="36">
      <c r="A36" t="n">
        <v>34</v>
      </c>
      <c r="B36" s="2" t="n">
        <v>226836</v>
      </c>
      <c r="C36" s="3">
        <f>B36/1024</f>
        <v/>
      </c>
      <c r="D36" s="4">
        <f>B36/$B$2*100</f>
        <v/>
      </c>
      <c r="E36" t="n">
        <v>294.12</v>
      </c>
      <c r="F36" t="n">
        <v>1.07</v>
      </c>
      <c r="G36" t="n">
        <v>151.22</v>
      </c>
      <c r="H36" s="5">
        <f>45619200/B36</f>
        <v/>
      </c>
    </row>
    <row r="37">
      <c r="A37" t="n">
        <v>35</v>
      </c>
      <c r="B37" s="2" t="n">
        <v>201486</v>
      </c>
      <c r="C37" s="3">
        <f>B37/1024</f>
        <v/>
      </c>
      <c r="D37" s="4">
        <f>B37/$B$2*100</f>
        <v/>
      </c>
      <c r="E37" t="n">
        <v>302.42</v>
      </c>
      <c r="F37" t="n">
        <v>1.037</v>
      </c>
      <c r="G37" t="n">
        <v>134.32</v>
      </c>
      <c r="H37" s="5">
        <f>45619200/B37</f>
        <v/>
      </c>
    </row>
    <row r="38">
      <c r="A38" t="n">
        <v>36</v>
      </c>
      <c r="B38" s="2" t="n">
        <v>180386</v>
      </c>
      <c r="C38" s="3">
        <f>B38/1024</f>
        <v/>
      </c>
      <c r="D38" s="4">
        <f>B38/$B$2*100</f>
        <v/>
      </c>
      <c r="E38" t="n">
        <v>318.13</v>
      </c>
      <c r="F38" t="n">
        <v>0.985</v>
      </c>
      <c r="G38" t="n">
        <v>120.26</v>
      </c>
      <c r="H38" s="5">
        <f>45619200/B38</f>
        <v/>
      </c>
    </row>
    <row r="39">
      <c r="A39" t="n">
        <v>37</v>
      </c>
      <c r="B39" s="2" t="n">
        <v>161799</v>
      </c>
      <c r="C39" s="3">
        <f>B39/1024</f>
        <v/>
      </c>
      <c r="D39" s="4">
        <f>B39/$B$2*100</f>
        <v/>
      </c>
      <c r="E39" t="n">
        <v>323.28</v>
      </c>
      <c r="F39" t="n">
        <v>0.977</v>
      </c>
      <c r="G39" t="n">
        <v>107.87</v>
      </c>
      <c r="H39" s="5">
        <f>45619200/B39</f>
        <v/>
      </c>
    </row>
    <row r="40">
      <c r="A40" t="n">
        <v>38</v>
      </c>
      <c r="B40" s="2" t="n">
        <v>143484</v>
      </c>
      <c r="C40" s="3">
        <f>B40/1024</f>
        <v/>
      </c>
      <c r="D40" s="4">
        <f>B40/$B$2*100</f>
        <v/>
      </c>
      <c r="E40" t="n">
        <v>291.26</v>
      </c>
      <c r="F40" t="n">
        <v>1.078</v>
      </c>
      <c r="G40" t="n">
        <v>95.66</v>
      </c>
      <c r="H40" s="5">
        <f>45619200/B40</f>
        <v/>
      </c>
    </row>
    <row r="41">
      <c r="A41" t="n">
        <v>39</v>
      </c>
      <c r="B41" s="2" t="n">
        <v>130626</v>
      </c>
      <c r="C41" s="3">
        <f>B41/1024</f>
        <v/>
      </c>
      <c r="D41" s="4">
        <f>B41/$B$2*100</f>
        <v/>
      </c>
      <c r="E41" t="n">
        <v>363.64</v>
      </c>
      <c r="F41" t="n">
        <v>0.872</v>
      </c>
      <c r="G41" t="n">
        <v>87.08</v>
      </c>
      <c r="H41" s="5">
        <f>45619200/B41</f>
        <v/>
      </c>
    </row>
    <row r="42">
      <c r="A42" t="n">
        <v>40</v>
      </c>
      <c r="B42" s="2" t="n">
        <v>117482</v>
      </c>
      <c r="C42" s="3">
        <f>B42/1024</f>
        <v/>
      </c>
      <c r="D42" s="4">
        <f>B42/$B$2*100</f>
        <v/>
      </c>
      <c r="E42" t="n">
        <v>365.41</v>
      </c>
      <c r="F42" t="n">
        <v>0.87</v>
      </c>
      <c r="G42" t="n">
        <v>78.31999999999999</v>
      </c>
      <c r="H42" s="5">
        <f>45619200/B42</f>
        <v/>
      </c>
    </row>
    <row r="43">
      <c r="A43" t="n">
        <v>41</v>
      </c>
      <c r="B43" s="2" t="n">
        <v>106234</v>
      </c>
      <c r="C43" s="3">
        <f>B43/1024</f>
        <v/>
      </c>
      <c r="D43" s="4">
        <f>B43/$B$2*100</f>
        <v/>
      </c>
      <c r="E43" t="n">
        <v>379.75</v>
      </c>
      <c r="F43" t="n">
        <v>0.837</v>
      </c>
      <c r="G43" t="n">
        <v>70.81999999999999</v>
      </c>
      <c r="H43" s="5">
        <f>45619200/B43</f>
        <v/>
      </c>
    </row>
    <row r="44">
      <c r="A44" t="n">
        <v>42</v>
      </c>
      <c r="B44" s="2" t="n">
        <v>95427</v>
      </c>
      <c r="C44" s="3">
        <f>B44/1024</f>
        <v/>
      </c>
      <c r="D44" s="4">
        <f>B44/$B$2*100</f>
        <v/>
      </c>
      <c r="E44" t="n">
        <v>381.68</v>
      </c>
      <c r="F44" t="n">
        <v>0.834</v>
      </c>
      <c r="G44" t="n">
        <v>63.62</v>
      </c>
      <c r="H44" s="5">
        <f>45619200/B44</f>
        <v/>
      </c>
    </row>
    <row r="45">
      <c r="A45" t="n">
        <v>43</v>
      </c>
      <c r="B45" s="2" t="n">
        <v>87793</v>
      </c>
      <c r="C45" s="3">
        <f>B45/1024</f>
        <v/>
      </c>
      <c r="D45" s="4">
        <f>B45/$B$2*100</f>
        <v/>
      </c>
      <c r="E45" t="n">
        <v>327.87</v>
      </c>
      <c r="F45" t="n">
        <v>0.962</v>
      </c>
      <c r="G45" t="n">
        <v>58.53</v>
      </c>
      <c r="H45" s="5">
        <f>45619200/B45</f>
        <v/>
      </c>
    </row>
    <row r="46">
      <c r="A46" t="n">
        <v>44</v>
      </c>
      <c r="B46" s="2" t="n">
        <v>79700</v>
      </c>
      <c r="C46" s="3">
        <f>B46/1024</f>
        <v/>
      </c>
      <c r="D46" s="4">
        <f>B46/$B$2*100</f>
        <v/>
      </c>
      <c r="E46" t="n">
        <v>402.14</v>
      </c>
      <c r="F46" t="n">
        <v>0.795</v>
      </c>
      <c r="G46" t="n">
        <v>53.13</v>
      </c>
      <c r="H46" s="5">
        <f>45619200/B46</f>
        <v/>
      </c>
    </row>
    <row r="47">
      <c r="A47" t="n">
        <v>45</v>
      </c>
      <c r="B47" s="2" t="n">
        <v>73141</v>
      </c>
      <c r="C47" s="3">
        <f>B47/1024</f>
        <v/>
      </c>
      <c r="D47" s="4">
        <f>B47/$B$2*100</f>
        <v/>
      </c>
      <c r="E47" t="n">
        <v>407.06</v>
      </c>
      <c r="F47" t="n">
        <v>0.777</v>
      </c>
      <c r="G47" t="n">
        <v>48.76</v>
      </c>
      <c r="H47" s="5">
        <f>45619200/B47</f>
        <v/>
      </c>
    </row>
    <row r="48">
      <c r="A48" t="n">
        <v>46</v>
      </c>
      <c r="B48" s="2" t="n">
        <v>66998</v>
      </c>
      <c r="C48" s="3">
        <f>B48/1024</f>
        <v/>
      </c>
      <c r="D48" s="4">
        <f>B48/$B$2*100</f>
        <v/>
      </c>
      <c r="E48" t="n">
        <v>416.09</v>
      </c>
      <c r="F48" t="n">
        <v>0.764</v>
      </c>
      <c r="G48" t="n">
        <v>44.67</v>
      </c>
      <c r="H48" s="5">
        <f>45619200/B48</f>
        <v/>
      </c>
    </row>
    <row r="49">
      <c r="A49" t="n">
        <v>47</v>
      </c>
      <c r="B49" s="2" t="n">
        <v>61155</v>
      </c>
      <c r="C49" s="3">
        <f>B49/1024</f>
        <v/>
      </c>
      <c r="D49" s="4">
        <f>B49/$B$2*100</f>
        <v/>
      </c>
      <c r="E49" t="n">
        <v>429.18</v>
      </c>
      <c r="F49" t="n">
        <v>0.742</v>
      </c>
      <c r="G49" t="n">
        <v>40.77</v>
      </c>
      <c r="H49" s="5">
        <f>45619200/B49</f>
        <v/>
      </c>
    </row>
    <row r="50">
      <c r="A50" t="n">
        <v>48</v>
      </c>
      <c r="B50" s="2" t="n">
        <v>55364</v>
      </c>
      <c r="C50" s="3">
        <f>B50/1024</f>
        <v/>
      </c>
      <c r="D50" s="4">
        <f>B50/$B$2*100</f>
        <v/>
      </c>
      <c r="E50" t="n">
        <v>449.78</v>
      </c>
      <c r="F50" t="n">
        <v>0.712</v>
      </c>
      <c r="G50" t="n">
        <v>36.91</v>
      </c>
      <c r="H50" s="5">
        <f>45619200/B50</f>
        <v/>
      </c>
    </row>
    <row r="51">
      <c r="A51" t="n">
        <v>49</v>
      </c>
      <c r="B51" s="2" t="n">
        <v>51419</v>
      </c>
      <c r="C51" s="3">
        <f>B51/1024</f>
        <v/>
      </c>
      <c r="D51" s="4">
        <f>B51/$B$2*100</f>
        <v/>
      </c>
      <c r="E51" t="n">
        <v>432.28</v>
      </c>
      <c r="F51" t="n">
        <v>0.887</v>
      </c>
      <c r="G51" t="n">
        <v>34.28</v>
      </c>
      <c r="H51" s="5">
        <f>45619200/B51</f>
        <v/>
      </c>
    </row>
    <row r="52">
      <c r="A52" t="n">
        <v>50</v>
      </c>
      <c r="B52" s="2" t="n">
        <v>46583</v>
      </c>
      <c r="C52" s="3">
        <f>B52/1024</f>
        <v/>
      </c>
      <c r="D52" s="4">
        <f>B52/$B$2*100</f>
        <v/>
      </c>
      <c r="E52" t="n">
        <v>464.4</v>
      </c>
      <c r="F52" t="n">
        <v>0.6899999999999999</v>
      </c>
      <c r="G52" t="n">
        <v>31.06</v>
      </c>
      <c r="H52" s="5">
        <f>45619200/B52</f>
        <v/>
      </c>
    </row>
    <row r="53">
      <c r="A53" t="n">
        <v>51</v>
      </c>
      <c r="B53" s="2" t="n">
        <v>42844</v>
      </c>
      <c r="C53" s="3">
        <f>B53/1024</f>
        <v/>
      </c>
      <c r="D53" s="4">
        <f>B53/$B$2*100</f>
        <v/>
      </c>
      <c r="E53" t="n">
        <v>460.12</v>
      </c>
      <c r="F53" t="n">
        <v>0.698</v>
      </c>
      <c r="G53" t="n">
        <v>28.56</v>
      </c>
      <c r="H53" s="5">
        <f>45619200/B53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6" t="inlineStr">
        <is>
          <t>Input</t>
        </is>
      </c>
      <c r="B1" t="inlineStr">
        <is>
          <t>foreman-cif.yuv</t>
        </is>
      </c>
    </row>
    <row r="2">
      <c r="A2" s="6" t="inlineStr">
        <is>
          <t>Resolution</t>
        </is>
      </c>
      <c r="B2" t="inlineStr">
        <is>
          <t>352x288</t>
        </is>
      </c>
    </row>
    <row r="3">
      <c r="A3" s="6" t="inlineStr">
        <is>
          <t>Runs per QP (speed averaged)</t>
        </is>
      </c>
      <c r="B3" t="n">
        <v>1</v>
      </c>
    </row>
    <row r="4">
      <c r="A4" s="6" t="inlineStr"/>
      <c r="B4" t="inlineStr"/>
    </row>
    <row r="5">
      <c r="A5" s="6" t="inlineStr">
        <is>
          <t>Largest file (bytes)</t>
        </is>
      </c>
      <c r="B5">
        <f>MAX(Results!B2:B53)</f>
        <v/>
      </c>
    </row>
    <row r="6">
      <c r="A6" s="6" t="inlineStr">
        <is>
          <t>Smallest file (bytes)</t>
        </is>
      </c>
      <c r="B6">
        <f>MIN(Results!B2:B53)</f>
        <v/>
      </c>
    </row>
    <row r="7">
      <c r="A7" s="6" t="inlineStr">
        <is>
          <t>Size reduction QP min -&gt; QP max (x)</t>
        </is>
      </c>
      <c r="B7">
        <f>Results!B2/Results!B53</f>
        <v/>
      </c>
    </row>
    <row r="8">
      <c r="A8" s="6" t="inlineStr">
        <is>
          <t>Slowest FPS</t>
        </is>
      </c>
      <c r="B8">
        <f>MIN(Results!E2:E53)</f>
        <v/>
      </c>
    </row>
    <row r="9">
      <c r="A9" s="6" t="inlineStr">
        <is>
          <t>Fastest FPS</t>
        </is>
      </c>
      <c r="B9">
        <f>MAX(Results!E2:E53)</f>
        <v/>
      </c>
    </row>
    <row r="10">
      <c r="A10" s="6" t="inlineStr">
        <is>
          <t>Speed-up QP min -&gt; QP max (x)</t>
        </is>
      </c>
      <c r="B10">
        <f>Results!E53/Results!E2</f>
        <v/>
      </c>
    </row>
    <row r="11">
      <c r="A11" s="6" t="inlineStr">
        <is>
          <t>Avg size change per +1 QP (%)</t>
        </is>
      </c>
      <c r="B11">
        <f>(Results!B53/Results!B2)^(1/51)*100-100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2026-10-08T16:53:52Z</dcterms:created>
  <dcterms:modified xsi:type="dcterms:W3CDTF">2026-10-08T16:53:52Z</dcterms:modified>
</cp:coreProperties>
</file>